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8451F77D-E299-431A-B35D-E9D405671E55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73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<sst xmlns="http://schemas.openxmlformats.org/spreadsheetml/2006/main" count="2030" uniqueCount="325">
  <si>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</si>
  <si>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</si>
  <si>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</si>
  <si>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</si>
  <si>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</si>
  <si>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</si>
  <si>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</si>
  <si>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</si>
  <si>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</si>
  <si>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</si>
  <si>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</si>
  <si>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</si>
  <si>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</si>
  <si>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</si>
  <si>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</si>
  <si>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</si>
  <si>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</si>
  <si>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</si>
  <si>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</si>
  <si>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</si>
  <si>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</si>
  <si>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</si>
  <si>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</si>
  <si>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</si>
  <si>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</si>
  <si>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</si>
  <si>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</si>
  <si>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</si>
  <si>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</si>
  <si>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</si>
  <si>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</si>
  <si>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</si>
  <si>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</si>
  <si>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</si>
  <si>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</si>
  <si>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</si>
  <si>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</si>
  <si>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</si>
  <si>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</si>
  <si>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</si>
  <si>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</si>
  <si>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</si>
  <si>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</si>
  <si>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</si>
  <si>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</si>
  <si>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</si>
  <si>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</si>
  <si>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</si>
  <si>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</si>
  <si>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</si>
  <si>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</si>
  <si>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</si>
  <si>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</si>
  <si>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</si>
  <si>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</si>
  <si>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</si>
  <si>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</si>
  <si>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</si>
  <si>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</si>
  <si>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</si>
  <si>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</si>
  <si>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</si>
  <si>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</si>
  <si>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</si>
  <si>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</si>
  <si>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</si>
  <si>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</si>
  <si>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</si>
  <si>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</si>
  <si>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</si>
  <si>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</si>
  <si>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</si>
  <si>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</si>
  <si>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</si>
  <si>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</si>
  <si>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</si>
  <si>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</si>
  <si>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</si>
  <si>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</si>
  <si>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</si>
  <si>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</si>
  <si>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</si>
  <si>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</si>
  <si>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</si>
  <si>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</si>
  <si>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</si>
  <si>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</si>
  <si>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</si>
  <si>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</si>
  <si>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</si>
  <si>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</si>
  <si>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</si>
  <si>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</si>
  <si>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</si>
  <si>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</si>
  <si>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</si>
  <si>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</si>
  <si>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</si>
  <si>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</si>
  <si>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</si>
  <si>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</si>
  <si>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</si>
  <si>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</si>
  <si>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</si>
  <si>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</si>
  <si>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</si>
  <si>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</si>
  <si>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</si>
  <si>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</si>
  <si>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</si>
  <si>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</si>
  <si>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</si>
  <si>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</si>
  <si>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</si>
  <si>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</si>
  <si>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</si>
  <si>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</si>
  <si>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</si>
  <si>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</si>
  <si>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</si>
  <si>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</si>
  <si>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</si>
  <si>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</si>
  <si>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</si>
  <si>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</si>
  <si>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</si>
  <si>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</si>
  <si>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</si>
  <si>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</si>
  <si>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</si>
  <si>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</si>
  <si>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</si>
  <si>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</si>
  <si>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</si>
  <si>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</si>
  <si>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</si>
  <si>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</si>
  <si>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</si>
  <si>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</si>
  <si>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</si>
  <si>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</si>
  <si>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</si>
  <si>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</si>
  <si>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</si>
  <si>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</si>
  <si>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</si>
  <si>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</si>
  <si>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</si>
  <si>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</si>
  <si>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</si>
  <si>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</si>
  <si>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</si>
  <si>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</si>
  <si>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</si>
  <si>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</si>
  <si>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</si>
  <si>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</si>
  <si>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</si>
  <si>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</si>
  <si>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</si>
  <si>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</si>
  <si>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</si>
  <si>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</si>
  <si>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</si>
  <si>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</si>
  <si>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</si>
  <si>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</si>
  <si>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</si>
  <si>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</si>
  <si>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</si>
  <si>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</si>
  <si>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</si>
  <si>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</si>
  <si>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</si>
  <si>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</si>
  <si>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</si>
  <si>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</si>
  <si>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</si>
  <si>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</si>
  <si>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</si>
  <si>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</si>
  <si>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</si>
  <si>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</si>
  <si>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</si>
  <si>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</si>
  <si>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</si>
  <si>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</si>
  <si>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</si>
  <si>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</si>
  <si>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</si>
  <si>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</si>
  <si>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</si>
  <si>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</si>
  <si>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</si>
  <si>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</si>
  <si>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</si>
  <si>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</si>
  <si>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</si>
  <si>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</si>
  <si>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</si>
  <si>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</si>
  <si>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</si>
  <si>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</si>
  <si>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</si>
  <si>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</si>
  <si>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</si>
  <si>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</si>
  <si>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</si>
  <si>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</si>
  <si>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</si>
  <si>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</si>
  <si>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</si>
  <si>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</si>
  <si>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</si>
  <si>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</si>
  <si>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</si>
  <si>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</si>
  <si>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</si>
  <si>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</si>
  <si>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</si>
  <si>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</si>
  <si>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</si>
  <si>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</si>
  <si>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</si>
  <si>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</si>
  <si>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</si>
  <si>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</si>
  <si>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</si>
  <si>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</si>
  <si>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</si>
  <si>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</si>
  <si>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</si>
  <si>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</si>
  <si>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</si>
  <si>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</si>
  <si>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</si>
  <si>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</si>
  <si>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</si>
  <si>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</si>
  <si>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</si>
  <si>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</si>
  <si>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</si>
  <si>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</si>
  <si>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</si>
  <si>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</si>
  <si>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</si>
  <si>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</si>
  <si>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</si>
  <si>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</si>
  <si>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</si>
  <si>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</si>
  <si>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</si>
  <si>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</si>
  <si>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</si>
  <si>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</si>
  <si>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</si>
  <si>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</si>
  <si>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</si>
  <si>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</si>
  <si>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</si>
  <si>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</si>
  <si>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</si>
  <si>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</si>
  <si>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</si>
  <si>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</si>
  <si>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</si>
  <si>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</si>
  <si>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</si>
  <si>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</si>
  <si>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</si>
  <si>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</si>
  <si>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</si>
  <si>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</si>
  <si>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</si>
  <si>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</si>
  <si>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</si>
  <si>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</si>
  <si>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</si>
  <si>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</si>
  <si>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</si>
  <si>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</si>
  <si>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</si>
  <si>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</si>
  <si>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</si>
  <si>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</si>
  <si>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</si>
  <si>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</si>
  <si>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</si>
  <si>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</si>
  <si>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</si>
  <si>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</si>
  <si>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</si>
  <si>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</si>
  <si>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</si>
  <si>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</si>
  <si>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</si>
  <si>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</si>
  <si>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</si>
  <si>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</si>
  <si>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</si>
  <si>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</si>
  <si>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</si>
  <si>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</si>
  <si>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</si>
  <si>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</si>
  <si>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</si>
  <si>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</si>
  <si>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</si>
  <si>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</si>
  <si>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</si>
  <si>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</si>
  <si>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</si>
  <si>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</si>
  <si>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 de Negócio 1 - Qual faturamento Total de vendas de planos anuais (contendo todas as assinaturas agregadas)</t>
  </si>
  <si>
    <r>
      <rPr>
        <sz val="11"/>
        <color rgb="FF000000"/>
        <rFont val="Aptos Narrow"/>
        <scheme val="minor"/>
      </rPr>
      <t>Pergunta de Negócio 2 - Qual Faturamento</t>
    </r>
    <r>
      <rPr>
        <b/>
        <sz val="11"/>
        <color rgb="FF000000"/>
        <rFont val="Aptos Narrow"/>
        <scheme val="minor"/>
      </rPr>
      <t xml:space="preserve"> </t>
    </r>
    <r>
      <rPr>
        <sz val="11"/>
        <color rgb="FF000000"/>
        <rFont val="Aptos Narrow"/>
        <scheme val="minor"/>
      </rPr>
      <t>Total de vendas de planos anuais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</si>
  <si>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</si>
  <si>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</si>
  <si>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</si>
  <si>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</si>
  <si>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</si>
  <si>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</si>
  <si>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</si>
  <si>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Pergunta de Negócio 5 - A média de vendas dos planos de assinatura anual</t>
  </si>
  <si>
    <t>Média de Total Value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</si>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</sst>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>
    <font>
      <sz val="11"/>
      <color rgb="FF000000"/>
      <name val="Aptos Narrow"/>
      <family val="2"/>
      <scheme val="minor"/>
    </font>
    <font>
      <b/>
      <sz val="15"/>
      <color rgb="FF0E284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0E2841"/>
      <name val="Segoe UI"/>
      <family val="2"/>
    </font>
    <font>
      <b/>
      <sz val="15"/>
      <color rgb="FF22C55E"/>
      <name val="Segoe UI"/>
      <family val="2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EAEAE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156082"/>
      </bottom>
      <diagonal/>
    </border>
    <border>
      <left/>
      <right/>
      <top/>
      <bottom style="thick">
        <color rgb="FF22C55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/>
    <xf numFmtId="0" fontId="4" fillId="0" borderId="2" xfId="0" applyFont="1" applyBorder="1"/>
    <xf numFmtId="44" fontId="0" fillId="0" borderId="0" xfId="0" applyNumberFormat="1"/>
    <xf numFmtId="0" fontId="0" fillId="0" borderId="2" xfId="0" applyBorder="1"/>
    <xf numFmtId="0" fontId="5" fillId="0" borderId="2" xfId="0" applyFont="1" applyBorder="1" applyAlignment="1">
      <alignment horizontal="left" indent="7"/>
    </xf>
    <xf numFmtId="0" fontId="0" fillId="0" borderId="0" xfId="0" pivotButton="1"/>
    <xf numFmtId="0" fontId="0" fillId="0" borderId="0" xfId="0" applyNumberFormat="1"/>
    <xf numFmtId="0" fontId="3" fillId="8" borderId="0" xfId="0" applyFont="1" applyFill="1" applyAlignment="1">
      <alignment horizontal="center"/>
    </xf>
    <xf numFmtId="0" fontId="0" fillId="0" borderId="0" xfId="0" applyAlignment="1">
      <alignment wrapText="1"/>
    </xf>
    <xf numFmtId="0" fontId="6" fillId="0" borderId="0" xfId="0" applyFont="1"/>
  </cellXfs>
  <cellStyles count="1"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[dashboard01.xlsx]C̳álculos!tbl_annual_total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>
    <xdr:from>
      <xdr:col>1</xdr:col>
      <xdr:colOff>200025</xdr:colOff>
      <xdr:row>3</xdr:row>
      <xdr:rowOff>38100</xdr:rowOff>
    </xdr:from>
    <xdr:to>
      <xdr:col>7</xdr:col>
      <xdr:colOff>381000</xdr:colOff>
      <xdr:row>5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894C07-4B93-D9EF-9741-A12BDD380E0F}"/>
            </a:ext>
            <a:ext uri="{147F2762-F138-4A5C-976F-8EAC2B608ADB}">
              <a16:predDERef xmlns:a16="http://schemas.microsoft.com/office/drawing/2014/main" pred="{F5379FD9-A036-8872-5B5B-6762AA6D8744}"/>
            </a:ext>
          </a:extLst>
        </xdr:cNvPr>
        <xdr:cNvSpPr txBox="1"/>
      </xdr:nvSpPr>
      <xdr:spPr>
        <a:xfrm>
          <a:off x="2028825" y="828675"/>
          <a:ext cx="3467100" cy="2762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2">
                  <a:lumMod val="50000"/>
                </a:schemeClr>
              </a:solidFill>
              <a:latin typeface="Aptos Narrow" panose="020B0004020202020204" pitchFamily="34" charset="0"/>
            </a:rPr>
            <a:t>Period : 17/11/2025  - Hours: 23:38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7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7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2F0C5-31B0-4CEF-AE6E-B937F5F81359}" name="Tabela dinâmica2" cacheId="7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43:C4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Média de Total Value" fld="12" subtotal="average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7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Tabela dinâmica2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8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  <c r="I3" s="13"/>
      <c r="J3" s="13"/>
      <c r="K3" s="13"/>
      <c r="L3" s="13"/>
      <c r="M3" s="13"/>
      <c r="N3" s="13"/>
      <c r="O3" s="13"/>
      <c r="P3" s="13"/>
    </row>
    <row r="4" spans="2:16" ht="15.75" thickTop="1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2:16">
      <c r="B5" s="3" t="s">
        <v>1</v>
      </c>
      <c r="C5" s="13" t="s">
        <v>2</v>
      </c>
      <c r="D5" s="13"/>
      <c r="E5" s="7" t="s">
        <v>3</v>
      </c>
      <c r="F5" s="13" t="s">
        <v>4</v>
      </c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2:16">
      <c r="B6" s="4" t="s">
        <v>5</v>
      </c>
      <c r="C6" s="13" t="s">
        <v>2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2:16">
      <c r="B7" s="5" t="s">
        <v>6</v>
      </c>
      <c r="C7" s="13" t="s">
        <v>7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2:16">
      <c r="B8" s="6" t="s">
        <v>8</v>
      </c>
      <c r="C8" s="13" t="s">
        <v>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I12" s="13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  <c r="I13" s="13"/>
      <c r="J13" s="13"/>
      <c r="K13" s="13"/>
      <c r="L13" s="13"/>
      <c r="M13" s="13"/>
      <c r="N13" s="13"/>
      <c r="O13" s="13"/>
      <c r="P13" s="13"/>
    </row>
    <row r="14" spans="2:16">
      <c r="B14" s="2"/>
      <c r="C14" s="2"/>
      <c r="D14" s="2"/>
      <c r="E14" s="2"/>
      <c r="F14" s="2"/>
      <c r="G14" s="2"/>
      <c r="H14" s="2"/>
      <c r="I14" s="13"/>
      <c r="J14" s="13"/>
      <c r="K14" s="13"/>
      <c r="L14" s="13"/>
      <c r="M14" s="13"/>
      <c r="N14" s="13"/>
      <c r="O14" s="13"/>
      <c r="P14" s="13"/>
    </row>
    <row r="15" spans="2:16">
      <c r="B15" s="2"/>
      <c r="C15" s="2"/>
      <c r="D15" s="2"/>
      <c r="E15" s="2"/>
      <c r="F15" s="2"/>
      <c r="G15" s="2"/>
      <c r="H15" s="2"/>
      <c r="I15" s="13"/>
      <c r="J15" s="13"/>
      <c r="K15" s="13"/>
      <c r="L15" s="13"/>
      <c r="M15" s="13"/>
      <c r="N15" s="13"/>
      <c r="O15" s="13"/>
      <c r="P15" s="13"/>
    </row>
    <row r="16" spans="2:16">
      <c r="B16" s="2"/>
      <c r="C16" s="2"/>
      <c r="D16" s="2"/>
      <c r="E16" s="2"/>
      <c r="F16" s="2"/>
      <c r="G16" s="2"/>
      <c r="H16" s="2"/>
      <c r="I16" s="13"/>
      <c r="J16" s="13"/>
      <c r="K16" s="13"/>
      <c r="L16" s="13"/>
      <c r="M16" s="13"/>
      <c r="N16" s="13"/>
      <c r="O16" s="13"/>
      <c r="P16" s="13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69" zoomScale="90" zoomScaleNormal="90" workbookViewId="0">
      <selection activeCell="A18" sqref="A18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52"/>
  <sheetViews>
    <sheetView showGridLines="0" topLeftCell="A34" workbookViewId="0">
      <selection activeCell="E39" sqref="E39"/>
    </sheetView>
  </sheetViews>
  <sheetFormatPr defaultRowHeight="15"/>
  <cols>
    <col min="2" max="2" width="18.5703125" bestFit="1" customWidth="1"/>
    <col min="3" max="3" width="18.85546875" bestFit="1" customWidth="1"/>
    <col min="4" max="4" width="21.285156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/>
      <c r="C3" s="20"/>
      <c r="D3" s="20"/>
      <c r="E3" s="20"/>
      <c r="F3" s="20"/>
    </row>
    <row r="6" spans="2:6">
      <c r="B6" s="13" t="s">
        <v>313</v>
      </c>
      <c r="C6" s="13"/>
      <c r="D6" s="13"/>
      <c r="E6" s="13"/>
      <c r="F6" s="13"/>
    </row>
    <row r="7" spans="2:6">
      <c r="B7" s="22" t="s">
        <v>314</v>
      </c>
      <c r="C7" s="13"/>
      <c r="D7" s="13"/>
      <c r="E7" s="13"/>
      <c r="F7" s="13"/>
    </row>
    <row r="9" spans="2:6">
      <c r="B9" s="18" t="s">
        <v>17</v>
      </c>
      <c r="C9" s="13" t="s">
        <v>31</v>
      </c>
      <c r="D9" s="13"/>
      <c r="E9" s="13"/>
      <c r="F9" s="13"/>
    </row>
    <row r="11" spans="2:6">
      <c r="B11" s="18" t="s">
        <v>315</v>
      </c>
      <c r="C11" s="13" t="s">
        <v>316</v>
      </c>
      <c r="D11" s="13"/>
      <c r="E11" s="13"/>
      <c r="F11" s="13"/>
    </row>
    <row r="12" spans="2:6">
      <c r="B12" s="12" t="s">
        <v>30</v>
      </c>
      <c r="C12" s="15">
        <v>217</v>
      </c>
      <c r="D12" s="13"/>
      <c r="E12" s="13"/>
      <c r="F12" s="13"/>
    </row>
    <row r="13" spans="2:6">
      <c r="B13" s="12" t="s">
        <v>26</v>
      </c>
      <c r="C13" s="15">
        <v>1537</v>
      </c>
      <c r="D13" s="13"/>
      <c r="E13" s="13"/>
      <c r="F13" s="13"/>
    </row>
    <row r="14" spans="2:6">
      <c r="B14" s="12" t="s">
        <v>317</v>
      </c>
      <c r="C14" s="15">
        <v>1754</v>
      </c>
      <c r="D14" s="13"/>
      <c r="E14" s="13"/>
      <c r="F14" s="13"/>
    </row>
    <row r="17" spans="2:5">
      <c r="B17" s="12" t="s">
        <v>318</v>
      </c>
      <c r="C17" s="13"/>
      <c r="D17" s="13"/>
      <c r="E17" s="13"/>
    </row>
    <row r="19" spans="2:5">
      <c r="B19" s="18" t="s">
        <v>17</v>
      </c>
      <c r="C19" s="13" t="s">
        <v>31</v>
      </c>
      <c r="D19" s="13"/>
      <c r="E19" s="13"/>
    </row>
    <row r="21" spans="2:5">
      <c r="B21" s="18" t="s">
        <v>315</v>
      </c>
      <c r="C21" s="13" t="s">
        <v>319</v>
      </c>
      <c r="D21" s="13"/>
      <c r="E21" s="13"/>
    </row>
    <row r="22" spans="2:5">
      <c r="B22" s="12" t="s">
        <v>29</v>
      </c>
      <c r="C22" s="19">
        <v>0</v>
      </c>
      <c r="D22" s="13"/>
      <c r="E22" s="13"/>
    </row>
    <row r="23" spans="2:5">
      <c r="B23" s="12" t="s">
        <v>34</v>
      </c>
      <c r="C23" s="19">
        <v>0</v>
      </c>
      <c r="D23" s="13"/>
      <c r="E23" s="13"/>
    </row>
    <row r="24" spans="2:5">
      <c r="B24" s="12" t="s">
        <v>25</v>
      </c>
      <c r="C24" s="19">
        <v>600</v>
      </c>
      <c r="D24" s="13"/>
      <c r="E24" s="13"/>
    </row>
    <row r="25" spans="2:5">
      <c r="B25" s="12" t="s">
        <v>317</v>
      </c>
      <c r="C25" s="19">
        <v>600</v>
      </c>
      <c r="D25" s="13"/>
      <c r="E25" s="15">
        <f>GETPIVOTDATA("EA Play Season Pass
Price",$B$21)</f>
        <v>600</v>
      </c>
    </row>
    <row r="28" spans="2:5">
      <c r="B28" s="12" t="s">
        <v>320</v>
      </c>
      <c r="C28" s="13"/>
      <c r="D28" s="13"/>
      <c r="E28" s="13"/>
    </row>
    <row r="30" spans="2:5">
      <c r="B30" s="18" t="s">
        <v>17</v>
      </c>
      <c r="C30" s="13" t="s">
        <v>31</v>
      </c>
      <c r="D30" s="13"/>
      <c r="E30" s="13"/>
    </row>
    <row r="32" spans="2:5">
      <c r="B32" s="18" t="s">
        <v>315</v>
      </c>
      <c r="C32" s="13" t="s">
        <v>321</v>
      </c>
      <c r="D32" s="13"/>
      <c r="E32" s="13"/>
    </row>
    <row r="33" spans="2:5">
      <c r="B33" s="12" t="s">
        <v>29</v>
      </c>
      <c r="C33" s="15">
        <v>0</v>
      </c>
      <c r="D33" s="13"/>
      <c r="E33" s="13"/>
    </row>
    <row r="34" spans="2:5">
      <c r="B34" s="12" t="s">
        <v>34</v>
      </c>
      <c r="C34" s="15">
        <v>540</v>
      </c>
      <c r="D34" s="13"/>
      <c r="E34" s="13"/>
    </row>
    <row r="35" spans="2:5">
      <c r="B35" s="12" t="s">
        <v>25</v>
      </c>
      <c r="C35" s="15">
        <v>400</v>
      </c>
      <c r="D35" s="13"/>
      <c r="E35" s="13"/>
    </row>
    <row r="36" spans="2:5">
      <c r="B36" s="12" t="s">
        <v>317</v>
      </c>
      <c r="C36" s="15">
        <v>940</v>
      </c>
      <c r="D36" s="13"/>
      <c r="E36" s="15">
        <f>GETPIVOTDATA("Minecraft Season Pass Price",$B$32)</f>
        <v>940</v>
      </c>
    </row>
    <row r="39" spans="2:5" ht="57.75">
      <c r="B39" s="21" t="s">
        <v>322</v>
      </c>
      <c r="C39" s="13"/>
      <c r="D39" s="13"/>
      <c r="E39" s="13"/>
    </row>
    <row r="41" spans="2:5">
      <c r="B41" s="18" t="s">
        <v>17</v>
      </c>
      <c r="C41" s="13" t="s">
        <v>31</v>
      </c>
      <c r="D41" s="13"/>
      <c r="E41" s="13"/>
    </row>
    <row r="42" spans="2:5">
      <c r="B42" s="13"/>
      <c r="C42" s="13"/>
      <c r="D42" s="13"/>
      <c r="E42" s="13"/>
    </row>
    <row r="43" spans="2:5">
      <c r="B43" s="18" t="s">
        <v>315</v>
      </c>
      <c r="C43" s="13" t="s">
        <v>323</v>
      </c>
      <c r="D43" s="13"/>
      <c r="E43" s="13"/>
    </row>
    <row r="44" spans="2:5">
      <c r="B44" s="12" t="s">
        <v>29</v>
      </c>
      <c r="C44" s="15">
        <v>5</v>
      </c>
      <c r="D44" s="13"/>
      <c r="E44" s="13"/>
    </row>
    <row r="45" spans="2:5">
      <c r="B45" s="12" t="s">
        <v>34</v>
      </c>
      <c r="C45" s="15">
        <v>16.592592592592592</v>
      </c>
      <c r="D45" s="13"/>
      <c r="E45" s="13"/>
    </row>
    <row r="46" spans="2:5">
      <c r="B46" s="12" t="s">
        <v>25</v>
      </c>
      <c r="C46" s="15">
        <v>59.3</v>
      </c>
      <c r="D46" s="13"/>
      <c r="E46" s="13"/>
    </row>
    <row r="47" spans="2:5">
      <c r="B47" s="12" t="s">
        <v>317</v>
      </c>
      <c r="C47" s="15">
        <v>24.704225352112676</v>
      </c>
      <c r="D47" s="13"/>
      <c r="E47" s="13"/>
    </row>
    <row r="48" spans="2:5">
      <c r="B48" s="13"/>
      <c r="C48" s="13"/>
      <c r="D48" s="13"/>
      <c r="E48" s="13"/>
    </row>
    <row r="49" spans="2:4">
      <c r="B49" s="13"/>
      <c r="C49" s="13"/>
      <c r="D49" s="13"/>
    </row>
    <row r="50" spans="2:4">
      <c r="B50" s="13"/>
      <c r="C50" s="13"/>
      <c r="D50" s="13"/>
    </row>
    <row r="51" spans="2:4">
      <c r="B51" s="13"/>
      <c r="C51" s="13"/>
      <c r="D51" s="13"/>
    </row>
    <row r="52" spans="2:4">
      <c r="B52" s="13"/>
      <c r="C52" s="13"/>
      <c r="D52" s="13"/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tabSelected="1" zoomScaleNormal="100" workbookViewId="0">
      <selection activeCell="Q2" sqref="Q2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B2" s="13"/>
      <c r="C2" s="17" t="s">
        <v>324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6"/>
      <c r="S2" s="16"/>
    </row>
    <row r="3" spans="1:19" ht="19.5" customHeight="1" thickTop="1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499037E4-A6E4-45D3-B93A-3D2B6A0C2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2025-11-18T02:43:11Z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